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nan\Desktop\"/>
    </mc:Choice>
  </mc:AlternateContent>
  <xr:revisionPtr revIDLastSave="0" documentId="13_ncr:1_{888F4F5A-0160-460D-BAFD-D4D702073B07}" xr6:coauthVersionLast="47" xr6:coauthVersionMax="47" xr10:uidLastSave="{00000000-0000-0000-0000-000000000000}"/>
  <bookViews>
    <workbookView xWindow="-108" yWindow="-108" windowWidth="23256" windowHeight="12576" xr2:uid="{523A6FE9-3321-4149-B725-70137FF7679B}"/>
  </bookViews>
  <sheets>
    <sheet name="冰箱數據" sheetId="1" r:id="rId1"/>
  </sheets>
  <definedNames>
    <definedName name="UCL">OFFSET(冰箱數據!$H$2,0,0,COUNT(冰箱數據!$H$1:$H$2))</definedName>
    <definedName name="溫度">OFFSET(冰箱數據!$F$2,0,0,COUNT(冰箱數據!$F$1:$F$2))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1" l="1"/>
  <c r="J22" i="1"/>
  <c r="J23" i="1"/>
  <c r="J19" i="1"/>
  <c r="J26" i="1" l="1"/>
  <c r="J31" i="1" s="1"/>
  <c r="J25" i="1"/>
  <c r="J30" i="1" s="1"/>
  <c r="J27" i="1" l="1"/>
  <c r="J28" i="1"/>
</calcChain>
</file>

<file path=xl/sharedStrings.xml><?xml version="1.0" encoding="utf-8"?>
<sst xmlns="http://schemas.openxmlformats.org/spreadsheetml/2006/main" count="21" uniqueCount="21">
  <si>
    <t>UCL(&lt;20)</t>
  </si>
  <si>
    <t>標準差</t>
  </si>
  <si>
    <t>Mean</t>
  </si>
  <si>
    <t>sigma</t>
  </si>
  <si>
    <t>溫度設定值</t>
  </si>
  <si>
    <t>Control (3 sigma)</t>
  </si>
  <si>
    <t>SPEC (6 sigma)</t>
  </si>
  <si>
    <t>LSL</t>
  </si>
  <si>
    <t>LCL</t>
  </si>
  <si>
    <t>Target</t>
  </si>
  <si>
    <t>UCL</t>
  </si>
  <si>
    <t>USL</t>
  </si>
  <si>
    <t>ID</t>
    <phoneticPr fontId="1" type="noConversion"/>
  </si>
  <si>
    <t>點位名稱</t>
    <phoneticPr fontId="1" type="noConversion"/>
  </si>
  <si>
    <t>紀錄日期</t>
    <phoneticPr fontId="1" type="noConversion"/>
  </si>
  <si>
    <t>紀錄時間</t>
    <phoneticPr fontId="1" type="noConversion"/>
  </si>
  <si>
    <t>記錄毫秒</t>
    <phoneticPr fontId="1" type="noConversion"/>
  </si>
  <si>
    <t>溫度(℃)</t>
    <phoneticPr fontId="1" type="noConversion"/>
  </si>
  <si>
    <t>count:Production</t>
  </si>
  <si>
    <t>2023/1/12 上午 12:00:00</t>
  </si>
  <si>
    <t>警報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</si>
</sst>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.0"/>
    <numFmt numFmtId="177" formatCode="0.0"/>
    <numFmt numFmtId="178" formatCode="0.00_ "/>
  </numFmts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theme="1"/>
      <name val="新細明體"/>
      <family val="1"/>
      <charset val="136"/>
      <scheme val="minor"/>
    </font>
    <font>
      <sz val="10"/>
      <color theme="1"/>
      <name val="Arial"/>
      <family val="2"/>
    </font>
    <font>
      <sz val="10"/>
      <color theme="1"/>
      <name val="微軟正黑體"/>
      <family val="2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177" fontId="3" fillId="0" borderId="1" xfId="0" applyNumberFormat="1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21" fontId="4" fillId="0" borderId="0" xfId="0" applyNumberFormat="1" applyFont="1" applyAlignment="1">
      <alignment horizontal="center"/>
    </xf>
    <xf numFmtId="176" fontId="4" fillId="0" borderId="0" xfId="0" applyNumberFormat="1" applyFont="1" applyAlignment="1">
      <alignment horizontal="center"/>
    </xf>
    <xf numFmtId="178" fontId="4" fillId="0" borderId="0" xfId="0" applyNumberFormat="1" applyFont="1" applyAlignment="1">
      <alignment horizontal="center"/>
    </xf>
    <xf numFmtId="177" fontId="4" fillId="0" borderId="0" xfId="0" applyNumberFormat="1" applyFont="1" applyAlignment="1">
      <alignment horizontal="center" vertical="center"/>
    </xf>
    <xf numFmtId="0" fontId="4" fillId="0" borderId="0" xfId="0" applyFont="1">
      <alignment vertical="center"/>
    </xf>
    <xf numFmtId="177" fontId="0" fillId="0" borderId="0" xfId="0" applyNumberFormat="1" applyAlignment="1">
      <alignment horizontal="left"/>
    </xf>
    <xf numFmtId="176" fontId="0" fillId="0" borderId="0" xfId="0" applyNumberFormat="1" applyAlignment="1">
      <alignment horizontal="left"/>
    </xf>
  </cellXfs>
  <cellStyles count="1">
    <cellStyle name="一般" xfId="0" builtinId="0"/>
  </cellStyles>
  <dxfs count="10">
    <dxf>
      <font>
        <strike val="0"/>
        <outline val="0"/>
        <shadow val="0"/>
        <u val="none"/>
        <vertAlign val="baseline"/>
        <sz val="10"/>
        <color theme="1"/>
        <name val="微軟正黑體"/>
        <family val="2"/>
        <charset val="136"/>
        <scheme val="none"/>
      </font>
      <numFmt numFmtId="177" formatCode="0.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微軟正黑體"/>
        <family val="2"/>
        <charset val="136"/>
        <scheme val="none"/>
      </font>
      <numFmt numFmtId="177" formatCode="0.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微軟正黑體"/>
        <family val="2"/>
        <charset val="136"/>
        <scheme val="none"/>
      </font>
      <numFmt numFmtId="178" formatCode="0.00_ 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微軟正黑體"/>
        <family val="2"/>
        <charset val="136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000" b="0">
                <a:solidFill>
                  <a:srgbClr val="757575"/>
                </a:solidFill>
                <a:latin typeface="+mn-lt"/>
              </a:rPr>
              <a:t>Chorus Freezer Temp. Performance (#MA1)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"/>
          <c:order val="0"/>
          <c:tx>
            <c:strRef>
              <c:f>冰箱數據!$H$1</c:f>
              <c:strCache>
                <c:ptCount val="1"/>
                <c:pt idx="0">
                  <c:v>UCL(&lt;20)</c:v>
                </c:pt>
              </c:strCache>
            </c:strRef>
          </c:tx>
          <c:spPr>
            <a:ln w="38100"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strRef>
              <c:f>冰箱數據!$C$1:$C$2</c:f>
              <c:strCache>
                <c:ptCount val="2"/>
                <c:pt idx="0">
                  <c:v>紀錄日期</c:v>
                </c:pt>
                <c:pt idx="1">
                  <c:v>2023/1/12 上午 12:00:00</c:v>
                </c:pt>
              </c:strCache>
            </c:strRef>
          </c:cat>
          <c:val>
            <c:numRef>
              <c:f>[0]!UCL</c:f>
              <c:numCache>
                <c:formatCode>0.0</c:formatCode>
                <c:ptCount val="1"/>
                <c:pt idx="0">
                  <c:v>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FB5-4B52-9FDA-7FECD594E91A}"/>
            </c:ext>
          </c:extLst>
        </c:ser>
        <c:ser>
          <c:idx val="0"/>
          <c:order val="1"/>
          <c:tx>
            <c:strRef>
              <c:f>冰箱數據!$F$1</c:f>
              <c:strCache>
                <c:ptCount val="1"/>
                <c:pt idx="0">
                  <c:v>溫度(℃)</c:v>
                </c:pt>
              </c:strCache>
            </c:strRef>
          </c:tx>
          <c:marker>
            <c:symbol val="none"/>
          </c:marker>
          <c:cat>
            <c:strRef>
              <c:f>冰箱數據!$C$1:$C$2</c:f>
              <c:strCache>
                <c:ptCount val="2"/>
                <c:pt idx="0">
                  <c:v>紀錄日期</c:v>
                </c:pt>
                <c:pt idx="1">
                  <c:v>2023/1/12 上午 12:00:00</c:v>
                </c:pt>
              </c:strCache>
            </c:strRef>
          </c:cat>
          <c:val>
            <c:numRef>
              <c:f>[0]!溫度</c:f>
              <c:numCache>
                <c:formatCode>0.00_ </c:formatCode>
                <c:ptCount val="1"/>
                <c:pt idx="0">
                  <c:v>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B5-4B52-9FDA-7FECD594E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5321697"/>
        <c:axId val="2049922784"/>
      </c:lineChart>
      <c:catAx>
        <c:axId val="76532169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zh-TW" alt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-3600000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zh-TW"/>
          </a:p>
        </c:txPr>
        <c:crossAx val="2049922784"/>
        <c:crosses val="autoZero"/>
        <c:auto val="1"/>
        <c:lblAlgn val="ctr"/>
        <c:lblOffset val="100"/>
        <c:noMultiLvlLbl val="1"/>
      </c:catAx>
      <c:valAx>
        <c:axId val="2049922784"/>
        <c:scaling>
          <c:orientation val="minMax"/>
          <c:max val="25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zh-TW" altLang="en-US"/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zh-TW"/>
          </a:p>
        </c:txPr>
        <c:crossAx val="765321697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zh-TW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68580</xdr:colOff>
      <xdr:row>0</xdr:row>
      <xdr:rowOff>15240</xdr:rowOff>
    </xdr:from>
    <xdr:ext cx="5715000" cy="3533775"/>
    <xdr:graphicFrame macro="">
      <xdr:nvGraphicFramePr>
        <xdr:cNvPr id="5" name="Chart 1" title="圖表">
          <a:extLst>
            <a:ext uri="{FF2B5EF4-FFF2-40B4-BE49-F238E27FC236}">
              <a16:creationId xmlns:a16="http://schemas.microsoft.com/office/drawing/2014/main" id="{79C34AE9-6D94-49D7-801A-ED4E5B34E5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DC430D-88CF-4A24-BE0C-CD939E2982E0}" name="表格1" displayName="表格1" ref="A1:H2" totalsRowShown="0" headerRowDxfId="9" dataDxfId="8">
  <autoFilter ref="A1:H2" xr:uid="{B4DC430D-88CF-4A24-BE0C-CD939E2982E0}"/>
  <tableColumns count="8">
    <tableColumn id="1" xr3:uid="{6E4F5FB4-F49D-4636-B306-D169EFEAACD4}" name="ID" dataDxfId="7"/>
    <tableColumn id="2" xr3:uid="{AB1CF6DD-B285-46F6-810E-525839F59447}" name="點位名稱" dataDxfId="6"/>
    <tableColumn id="3" xr3:uid="{9C350C85-1925-4CE3-B802-91F01A6C0F9A}" name="紀錄日期" dataDxfId="5"/>
    <tableColumn id="4" xr3:uid="{ACCF8380-F60D-4684-A094-5AC1DCF64DFA}" name="紀錄時間" dataDxfId="4"/>
    <tableColumn id="5" xr3:uid="{3979E229-73DA-4B56-AF20-B7759DD0316F}" name="記錄毫秒" dataDxfId="3"/>
    <tableColumn id="6" xr3:uid="{4575F380-C65C-4958-BD94-33D4282EC2B9}" name="溫度(℃)" dataDxfId="2"/>
    <tableColumn id="8" xr3:uid="{11557E14-0207-4A13-B0ED-30377DB69589}" name="警報" dataDxfId="1"/>
    <tableColumn id="7" xr3:uid="{E757D9D6-D2A8-4E6E-BF48-258B3B22FAF8}" name="UCL(&lt;20)" dataDxfId="0">
      <calculatedColumnFormula>$J$30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2F999-55B9-469B-8698-2D75B5E8D63A}">
  <sheetPr codeName="工作表1"/>
  <dimension ref="A1:J31"/>
  <sheetViews>
    <sheetView tabSelected="1" topLeftCell="A7" workbookViewId="0">
      <selection activeCell="F22" sqref="F22"/>
    </sheetView>
  </sheetViews>
  <sheetFormatPr defaultRowHeight="16.2" x14ac:dyDescent="0.3"/>
  <cols>
    <col min="1" max="1" width="8" style="10" bestFit="1" customWidth="1"/>
    <col min="2" max="2" width="17.33203125" style="10" bestFit="1" customWidth="1"/>
    <col min="3" max="3" width="24.33203125" style="10" bestFit="1" customWidth="1"/>
    <col min="4" max="5" width="13.5546875" style="10" bestFit="1" customWidth="1"/>
    <col min="6" max="6" width="13" style="11" bestFit="1" customWidth="1"/>
    <col min="7" max="7" width="7.5546875" style="15" bestFit="1" customWidth="1"/>
    <col min="8" max="8" width="14.6640625" style="15" bestFit="1" customWidth="1"/>
    <col min="9" max="9" width="16.109375" style="3" bestFit="1" customWidth="1"/>
    <col min="10" max="10" width="8.5546875" style="3" bestFit="1" customWidth="1"/>
    <col min="11" max="11" width="4.109375" style="3" bestFit="1" customWidth="1"/>
    <col min="12" max="16384" width="8.88671875" style="3"/>
  </cols>
  <sheetData>
    <row r="1" spans="1:8" x14ac:dyDescent="0.3">
      <c r="A1" s="8" t="s">
        <v>12</v>
      </c>
      <c r="B1" s="9" t="s">
        <v>13</v>
      </c>
      <c r="C1" s="8" t="s">
        <v>14</v>
      </c>
      <c r="D1" s="8" t="s">
        <v>15</v>
      </c>
      <c r="E1" s="10" t="s">
        <v>16</v>
      </c>
      <c r="F1" s="11" t="s">
        <v>17</v>
      </c>
      <c r="G1" s="16" t="s">
        <v>20</v>
      </c>
      <c r="H1" s="8" t="s">
        <v>0</v>
      </c>
    </row>
    <row r="2" spans="1:8" s="7" customFormat="1" ht="13.8" x14ac:dyDescent="0.3">
      <c r="A2" s="8">
        <v>2</v>
      </c>
      <c r="B2" s="8" t="s">
        <v>18</v>
      </c>
      <c r="C2" s="8" t="s">
        <v>19</v>
      </c>
      <c r="D2" s="12">
        <v>0.64907407407407403</v>
      </c>
      <c r="E2" s="13">
        <v>838</v>
      </c>
      <c r="F2" s="14">
        <v>522</v>
      </c>
      <c r="G2" s="15">
        <v>0</v>
      </c>
      <c r="H2" s="15">
        <f>$J$30</f>
        <v>7.4</v>
      </c>
    </row>
    <row r="19" spans="9:10" x14ac:dyDescent="0.3">
      <c r="I19" s="1" t="s">
        <v>1</v>
      </c>
      <c r="J19" s="17" t="e">
        <f>STDEV(F$1:F$2)</f>
        <v>#DIV/0!</v>
      </c>
    </row>
    <row r="20" spans="9:10" x14ac:dyDescent="0.3">
      <c r="I20" s="2"/>
      <c r="J20" s="2"/>
    </row>
    <row r="21" spans="9:10" x14ac:dyDescent="0.3">
      <c r="I21" s="2"/>
      <c r="J21" s="2"/>
    </row>
    <row r="22" spans="9:10" x14ac:dyDescent="0.3">
      <c r="I22" s="4" t="s">
        <v>2</v>
      </c>
      <c r="J22" s="18">
        <f>AVERAGE(E$1:E$2)</f>
        <v>838</v>
      </c>
    </row>
    <row r="23" spans="9:10" x14ac:dyDescent="0.3">
      <c r="I23" s="4" t="s">
        <v>3</v>
      </c>
      <c r="J23" s="17" t="e">
        <f>STDEV(F$1:F$2)</f>
        <v>#DIV/0!</v>
      </c>
    </row>
    <row r="24" spans="9:10" x14ac:dyDescent="0.25">
      <c r="I24" s="4" t="s">
        <v>4</v>
      </c>
      <c r="J24" s="4">
        <v>5</v>
      </c>
    </row>
    <row r="25" spans="9:10" x14ac:dyDescent="0.25">
      <c r="I25" s="5" t="s">
        <v>5</v>
      </c>
      <c r="J25" s="6">
        <f>0.8*3</f>
        <v>2.4000000000000004</v>
      </c>
    </row>
    <row r="26" spans="9:10" x14ac:dyDescent="0.25">
      <c r="I26" s="5" t="s">
        <v>6</v>
      </c>
      <c r="J26" s="6">
        <f>0.8*6</f>
        <v>4.8000000000000007</v>
      </c>
    </row>
    <row r="27" spans="9:10" x14ac:dyDescent="0.25">
      <c r="I27" s="5" t="s">
        <v>7</v>
      </c>
      <c r="J27" s="6">
        <f>5-J26</f>
        <v>0.19999999999999929</v>
      </c>
    </row>
    <row r="28" spans="9:10" x14ac:dyDescent="0.25">
      <c r="I28" s="5" t="s">
        <v>8</v>
      </c>
      <c r="J28" s="6">
        <f>5-J25</f>
        <v>2.5999999999999996</v>
      </c>
    </row>
    <row r="29" spans="9:10" x14ac:dyDescent="0.25">
      <c r="I29" s="5" t="s">
        <v>9</v>
      </c>
      <c r="J29" s="5">
        <v>5</v>
      </c>
    </row>
    <row r="30" spans="9:10" x14ac:dyDescent="0.25">
      <c r="I30" s="5" t="s">
        <v>10</v>
      </c>
      <c r="J30" s="6">
        <f>J29+J25</f>
        <v>7.4</v>
      </c>
    </row>
    <row r="31" spans="9:10" x14ac:dyDescent="0.25">
      <c r="I31" s="5" t="s">
        <v>11</v>
      </c>
      <c r="J31" s="6">
        <f>J29+J26</f>
        <v>9.8000000000000007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5205FCB-27C2-49A4-ACF4-F5A3BB53A87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I22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8279F1-A05F-41A7-9853-4E0395F03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冰箱數據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conan</dc:creator>
  <cp:lastModifiedBy>conan</cp:lastModifiedBy>
  <dcterms:created xsi:type="dcterms:W3CDTF">2023-01-07T06:29:34Z</dcterms:created>
  <dcterms:modified xsi:type="dcterms:W3CDTF">2023-02-01T03:32:16Z</dcterms:modified>
</cp:coreProperties>
</file>